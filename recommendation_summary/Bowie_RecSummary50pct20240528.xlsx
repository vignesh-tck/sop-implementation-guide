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wie Town Center" sheetId="1" r:id="rId4"/>
    <sheet state="visible" name="Old Town Bowie" sheetId="2" r:id="rId5"/>
    <sheet state="visible" name="Route 450 Mainstreet" sheetId="3" r:id="rId6"/>
  </sheets>
  <definedNames/>
  <calcPr/>
  <extLst>
    <ext uri="GoogleSheetsCustomDataVersion2">
      <go:sheetsCustomData xmlns:go="http://customooxmlschemas.google.com/" r:id="rId7" roundtripDataChecksum="6pAd/21nmdRoDR8E48G71UbIGIhFYw0GF9/M4CnV6zo="/>
    </ext>
  </extLst>
</workbook>
</file>

<file path=xl/sharedStrings.xml><?xml version="1.0" encoding="utf-8"?>
<sst xmlns="http://schemas.openxmlformats.org/spreadsheetml/2006/main" count="147" uniqueCount="85">
  <si>
    <t>sgmntid</t>
  </si>
  <si>
    <t>No of Rec</t>
  </si>
  <si>
    <t>neighborhood</t>
  </si>
  <si>
    <t>StreetName</t>
  </si>
  <si>
    <t>IntersectionA</t>
  </si>
  <si>
    <t>IntersectionB</t>
  </si>
  <si>
    <t>Features to be changed</t>
  </si>
  <si>
    <t>SoPIndex Before Score</t>
  </si>
  <si>
    <t>SoPIndex New Score (Projected)</t>
  </si>
  <si>
    <t>Bowie Town Center</t>
  </si>
  <si>
    <t>Harbour Way</t>
  </si>
  <si>
    <t>Harbour Way &amp; Crain Highway</t>
  </si>
  <si>
    <t>Harbour Way &amp; Mitchellville Road</t>
  </si>
  <si>
    <t>Public Garden &amp;
Surface parking lot &amp;
General maintenance of the buildings &amp;
Angled/On street parking &amp;
Museum, Auditorium Concert Hall, Theater &amp;
Crosswalks 1 &amp;
Vertical mixed used buildings &amp;
Playing or Sport Field &amp;
Arcades &amp;
Post Office, Police Station Courthouse, DMV</t>
  </si>
  <si>
    <t>Collington Rd</t>
  </si>
  <si>
    <t>Collington Rd &amp; Crain Highway</t>
  </si>
  <si>
    <t>Collington Rd &amp; Mitchellville Road</t>
  </si>
  <si>
    <t>Public Garden &amp;
General maintenance of the buildings &amp;
Angled/On street parking &amp;
Museum, Auditorium Concert Hall, Theater &amp;
Crosswalks 1 &amp;
Playing or Sport Field &amp;
Vertical mixed used buildings &amp;
Arcades</t>
  </si>
  <si>
    <t>Mitchellville Road</t>
  </si>
  <si>
    <t>Mitchellville Road &amp; Crain Highway</t>
  </si>
  <si>
    <t>Public Garden &amp;
Different Road Surface or Paving 2 &amp;
Condo/Apartment Housing &amp;
Surface parking lot &amp;
Libraries/Bookstores &amp;
Angled/On street parking &amp;
Playing or Sport Field &amp;
Arcades</t>
  </si>
  <si>
    <t>Mitchellville Road &amp; In the City with Crystal</t>
  </si>
  <si>
    <t>Public Garden &amp;
Movie Theater &amp;
Different Road Surface or Paving 2 &amp;
Big Box Shops &amp;
Condo/Apartment Housing &amp;
General maintenance of the buildings &amp;
Playing or Sport Field &amp;
Arcades</t>
  </si>
  <si>
    <t>Different Road Surface or Paving &amp;
Public Garden &amp;
Different Road Surface or Paving 2 &amp;
Surface parking lot &amp;
Museum, Auditorium Concert Hall, Theater &amp;
Playing or Sport Field &amp;
Vertical mixed used buildings &amp;
Arcades</t>
  </si>
  <si>
    <t>Mitchellville Road &amp; Harbour Way</t>
  </si>
  <si>
    <t>Mitchellville Road &amp; Heritage Blvd</t>
  </si>
  <si>
    <t>Public Garden &amp;
Vehicle lanes &amp;
Angled/On street parking &amp;
Museum, Auditorium Concert Hall, Theater &amp;
Benches/chairs &amp;
Playing or Sport Field &amp;
Vertical mixed used buildings &amp;
Dumpsters</t>
  </si>
  <si>
    <t>Heritage Blvd</t>
  </si>
  <si>
    <t>Heritage Blvd &amp; Mitchellville Road</t>
  </si>
  <si>
    <t>Heritage Blvd &amp; Crain Highway</t>
  </si>
  <si>
    <t>Public Garden &amp;
Big Box Shops &amp;
Community Center or Library &amp;
Surface parking lot &amp;
Libraries/Bookstores &amp;
General maintenance of the buildings &amp;
Single Family Home/Duplex Attached &amp;
Angled/On street parking &amp;
Crosswalks 1 &amp;
Playing or Sport Field &amp;
Arcades</t>
  </si>
  <si>
    <t>Emerald Lane</t>
  </si>
  <si>
    <t>Emerald Lane &amp; Emerald Lane (parking lane)</t>
  </si>
  <si>
    <t>Public Garden &amp;
Surface parking lot &amp;
Libraries/Bookstores &amp;
General maintenance of the buildings &amp;
Crosswalks 1 &amp;
Playing or Sport Field &amp;
Vertical mixed used buildings &amp;
Arcades</t>
  </si>
  <si>
    <t>Evergreen Parkway</t>
  </si>
  <si>
    <t>Evergreen Parkway &amp; Town Center Blvd</t>
  </si>
  <si>
    <t>Public Garden &amp;
Big Box Shops &amp;
Condo/Apartment Housing &amp;
Surface parking lot &amp;
General maintenance of the buildings &amp;
Museum, Auditorium Concert Hall, Theater &amp;
Crosswalks 1 &amp;
Playing or Sport Field &amp;
Arcades</t>
  </si>
  <si>
    <t>Emerald Way</t>
  </si>
  <si>
    <t>Emerald Way &amp; Evergreen Parkway</t>
  </si>
  <si>
    <t>Public Garden &amp;
Different Road Surface or Paving 2 &amp;
Big Box Shops &amp;
General maintenance of the buildings &amp;
Playing or Sport Field &amp;
Farmers Market &amp;
Vertical mixed used buildings &amp;
Arcades</t>
  </si>
  <si>
    <t>Northview Dr</t>
  </si>
  <si>
    <t>Northview Dr &amp; New Haven Dr</t>
  </si>
  <si>
    <t>Northview Dr &amp; Health Center Dr</t>
  </si>
  <si>
    <t>Public Garden &amp;
Movie Theater &amp;
Condo/Apartment Housing &amp;
Angled/On street parking &amp;
Crosswalks 1 &amp;
Benches/chairs &amp;
Playing or Sport Field &amp;
Blank walls &amp;
Arcades &amp;
Dumpsters</t>
  </si>
  <si>
    <t>Major Lansdale Blvd</t>
  </si>
  <si>
    <t>Major Lansdale Blvd &amp; Northview Dr</t>
  </si>
  <si>
    <t>Different Road Surface or Paving &amp;
Public Garden &amp;
Different Road Surface or Paving 2 &amp;
Condo/Apartment Housing &amp;
Surface parking lot &amp;
Libraries/Bookstores &amp;
Angled/On street parking &amp;
Playing or Sport Field &amp;
Arcades</t>
  </si>
  <si>
    <t>Old Town Bowie</t>
  </si>
  <si>
    <t>9th Street</t>
  </si>
  <si>
    <t>9th Street &amp; Chapel Ave</t>
  </si>
  <si>
    <t>9th Street &amp; Chestnut Ave</t>
  </si>
  <si>
    <t>Public Garden &amp;
Big Box Shops &amp;
Single Family Home/Duplex Attached &amp;
General maintenance of the buildings &amp;
Benches/chairs &amp;
Farmers Market &amp;
Playing or Sport Field &amp;
Arcades</t>
  </si>
  <si>
    <t>9th Street &amp; 11th Street</t>
  </si>
  <si>
    <t>Different Road Surface or Paving &amp;
Public Garden &amp;
Movie Theater &amp;
Different Road Surface or Paving 2 &amp;
Single Family Home/Duplex Attached &amp;
General maintenance of the buildings &amp;
Angled/On street parking &amp;
Playing or Sport Field &amp;
Arcades</t>
  </si>
  <si>
    <t>Chapel Ave</t>
  </si>
  <si>
    <t>Chapel Ave &amp; 9th Street</t>
  </si>
  <si>
    <t>Chapel Ave &amp; Railroad Ave</t>
  </si>
  <si>
    <t>Different Road Surface or Paving &amp;
Public Garden &amp;
Movie Theater &amp;
Different Road Surface or Paving 2 &amp;
Angled/On street parking &amp;
Playing or Sport Field &amp;
Vertical mixed used buildings &amp;
Arcades &amp;
Dumpsters</t>
  </si>
  <si>
    <t>Railroad Ave</t>
  </si>
  <si>
    <t>Railroad Ave &amp; Mapel Ave</t>
  </si>
  <si>
    <t>Railroad Ave &amp; Chapel Ave</t>
  </si>
  <si>
    <t>Public Garden &amp;
Movie Theater &amp;
Different Road Surface or Paving 2 &amp;
Condo/Apartment Housing &amp;
Surface parking lot &amp;
Playing or Sport Field &amp;
Arcades</t>
  </si>
  <si>
    <t>Route 450 Mainstreet</t>
  </si>
  <si>
    <t>Annapolis Rd</t>
  </si>
  <si>
    <t>Annapolis Rd &amp; Superior Ln</t>
  </si>
  <si>
    <t>Public Garden &amp;
Surface parking lot &amp;
General maintenance of the buildings &amp;
Angled/On street parking &amp;
Crosswalks 1 &amp;
Farmers Market &amp;
Playing or Sport Field &amp;
Vertical mixed used buildings &amp;
Arcades</t>
  </si>
  <si>
    <t>Annapolis Rd &amp; Stonybrook Dr</t>
  </si>
  <si>
    <t>Public Garden &amp;
Surface parking lot &amp;
General maintenance of the buildings &amp;
Angled/On street parking &amp;
Playing or Sport Field &amp;
Farmers Market &amp;
Vertical mixed used buildings &amp;
Arcades</t>
  </si>
  <si>
    <t>Annapolis Rd &amp; 15500 Annapolis Rd</t>
  </si>
  <si>
    <t>Public Garden &amp;
Different Road Surface or Paving 2 &amp;
Plaza/Square/Courtyard &amp;
Surface parking lot &amp;
Single Family Home/Duplex Attached &amp;
General maintenance of the buildings &amp;
Museum, Auditorium Concert Hall, Theater &amp;
Playing or Sport Field &amp;
Arcades</t>
  </si>
  <si>
    <t>15500 Annapolis Rd</t>
  </si>
  <si>
    <t>Different Road Surface or Paving &amp;
Public Garden &amp;
Different Road Surface or Paving 2 &amp;
Condo/Apartment Housing &amp;
Plaza/Square/Courtyard &amp;
Surface parking lot &amp;
General maintenance of the buildings &amp;
Angled/On street parking &amp;
Museum, Auditorium Concert Hall, Theater &amp;
Playing or Sport Field &amp;
Arcades</t>
  </si>
  <si>
    <t>15500 Annapolis Rd &amp; Marquette Ln</t>
  </si>
  <si>
    <t>Public Garden &amp;
Different Road Surface or Paving 2 &amp;
Condo/Apartment Housing &amp;
Plaza/Square/Courtyard &amp;
Surface parking lot &amp;
Museum, Auditorium Concert Hall, Theater &amp;
Playing or Sport Field &amp;
Arcades</t>
  </si>
  <si>
    <t>Superior Ln</t>
  </si>
  <si>
    <t>Superior Ln &amp; 15660 Annapolis Rd</t>
  </si>
  <si>
    <t>Superior Ln &amp; 15511 Annapolis Rd</t>
  </si>
  <si>
    <t>Public Garden &amp;
Movie Theater &amp;
Surface parking lot &amp;
General maintenance of the buildings &amp;
Crosswalks 1 &amp;
Playing or Sport Field &amp;
Vertical mixed used buildings &amp;
Arcades</t>
  </si>
  <si>
    <t>15475 Annapolis Rd</t>
  </si>
  <si>
    <t>15475 Annapolis Rd &amp; Annapolis Rd</t>
  </si>
  <si>
    <t>Different Road Surface or Paving &amp;
Public Garden &amp;
Different Road Surface or Paving 2 &amp;
Condo/Apartment Housing &amp;
Surface parking lot &amp;
Libraries/Bookstores &amp;
General maintenance of the buildings &amp;
Playing or Sport Field &amp;
Arcades</t>
  </si>
  <si>
    <t>Plaza Way</t>
  </si>
  <si>
    <t>Plaza Way &amp; Stonybrook Dr</t>
  </si>
  <si>
    <t>Plaza Way &amp; Sage Lane</t>
  </si>
  <si>
    <t>Different Road Surface or Paving &amp;
Public Garden &amp;
Different Road Surface or Paving 2 &amp;
Grafitti &amp;
Plaza/Square/Courtyard &amp;
Surface parking lot &amp;
Angled/On street parking &amp;
Playing or Sport Field &amp;
Vertical mixed used buildings &amp;
Arcades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</si>
</sst>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0.43"/>
    <col customWidth="1" min="7" max="7" width="45.29"/>
    <col customWidth="1" min="8" max="8" width="13.57"/>
    <col customWidth="1" min="9" max="9" width="22.29"/>
    <col customWidth="1" min="10" max="20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3">
        <v>1.0</v>
      </c>
      <c r="B2" s="3">
        <v>10.0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35.2</v>
      </c>
      <c r="I2" s="3">
        <v>87.5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3">
        <v>3.0</v>
      </c>
      <c r="B3" s="3">
        <v>8.0</v>
      </c>
      <c r="C3" s="3" t="s">
        <v>9</v>
      </c>
      <c r="D3" s="3" t="s">
        <v>14</v>
      </c>
      <c r="E3" s="3" t="s">
        <v>15</v>
      </c>
      <c r="F3" s="3" t="s">
        <v>16</v>
      </c>
      <c r="G3" s="3" t="s">
        <v>17</v>
      </c>
      <c r="H3" s="3">
        <v>43.3</v>
      </c>
      <c r="I3" s="3">
        <v>94.5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3">
        <v>6.0</v>
      </c>
      <c r="B4" s="3">
        <v>8.0</v>
      </c>
      <c r="C4" s="3" t="s">
        <v>9</v>
      </c>
      <c r="D4" s="3" t="s">
        <v>18</v>
      </c>
      <c r="E4" s="3" t="s">
        <v>19</v>
      </c>
      <c r="F4" s="3" t="s">
        <v>18</v>
      </c>
      <c r="G4" s="3" t="s">
        <v>20</v>
      </c>
      <c r="H4" s="3">
        <v>32.7</v>
      </c>
      <c r="I4" s="3">
        <v>84.2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3">
        <v>9.0</v>
      </c>
      <c r="B5" s="3">
        <v>8.0</v>
      </c>
      <c r="C5" s="3" t="s">
        <v>9</v>
      </c>
      <c r="D5" s="3" t="s">
        <v>18</v>
      </c>
      <c r="E5" s="3" t="s">
        <v>21</v>
      </c>
      <c r="F5" s="3" t="s">
        <v>18</v>
      </c>
      <c r="G5" s="3" t="s">
        <v>22</v>
      </c>
      <c r="H5" s="3">
        <v>25.9</v>
      </c>
      <c r="I5" s="3">
        <v>76.9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3">
        <v>10.0</v>
      </c>
      <c r="B6" s="3">
        <v>8.0</v>
      </c>
      <c r="C6" s="3" t="s">
        <v>9</v>
      </c>
      <c r="D6" s="3" t="s">
        <v>18</v>
      </c>
      <c r="E6" s="3" t="s">
        <v>18</v>
      </c>
      <c r="F6" s="3" t="s">
        <v>18</v>
      </c>
      <c r="G6" s="3" t="s">
        <v>23</v>
      </c>
      <c r="H6" s="3">
        <v>30.4</v>
      </c>
      <c r="I6" s="3">
        <v>81.7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3">
        <v>11.0</v>
      </c>
      <c r="B7" s="3">
        <v>8.0</v>
      </c>
      <c r="C7" s="3" t="s">
        <v>9</v>
      </c>
      <c r="D7" s="3" t="s">
        <v>18</v>
      </c>
      <c r="E7" s="3" t="s">
        <v>24</v>
      </c>
      <c r="F7" s="3" t="s">
        <v>25</v>
      </c>
      <c r="G7" s="3" t="s">
        <v>26</v>
      </c>
      <c r="H7" s="3">
        <v>43.1</v>
      </c>
      <c r="I7" s="3">
        <v>91.7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3">
        <v>13.0</v>
      </c>
      <c r="B8" s="3">
        <v>11.0</v>
      </c>
      <c r="C8" s="3" t="s">
        <v>9</v>
      </c>
      <c r="D8" s="3" t="s">
        <v>27</v>
      </c>
      <c r="E8" s="3" t="s">
        <v>28</v>
      </c>
      <c r="F8" s="3" t="s">
        <v>29</v>
      </c>
      <c r="G8" s="3" t="s">
        <v>30</v>
      </c>
      <c r="H8" s="3">
        <v>39.1</v>
      </c>
      <c r="I8" s="3">
        <v>91.2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3">
        <v>18.0</v>
      </c>
      <c r="B9" s="3">
        <v>8.0</v>
      </c>
      <c r="C9" s="3" t="s">
        <v>9</v>
      </c>
      <c r="D9" s="3" t="s">
        <v>31</v>
      </c>
      <c r="E9" s="3" t="s">
        <v>32</v>
      </c>
      <c r="F9" s="3" t="s">
        <v>32</v>
      </c>
      <c r="G9" s="3" t="s">
        <v>33</v>
      </c>
      <c r="H9" s="3">
        <v>39.8</v>
      </c>
      <c r="I9" s="3">
        <v>93.0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3">
        <v>25.0</v>
      </c>
      <c r="B10" s="3">
        <v>9.0</v>
      </c>
      <c r="C10" s="3" t="s">
        <v>9</v>
      </c>
      <c r="D10" s="3" t="s">
        <v>34</v>
      </c>
      <c r="E10" s="3" t="s">
        <v>35</v>
      </c>
      <c r="F10" s="3" t="s">
        <v>34</v>
      </c>
      <c r="G10" s="3" t="s">
        <v>36</v>
      </c>
      <c r="H10" s="3">
        <v>33.3</v>
      </c>
      <c r="I10" s="3">
        <v>88.3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3">
        <v>28.0</v>
      </c>
      <c r="B11" s="3">
        <v>8.0</v>
      </c>
      <c r="C11" s="3" t="s">
        <v>9</v>
      </c>
      <c r="D11" s="3" t="s">
        <v>37</v>
      </c>
      <c r="E11" s="3" t="s">
        <v>37</v>
      </c>
      <c r="F11" s="3" t="s">
        <v>38</v>
      </c>
      <c r="G11" s="3" t="s">
        <v>39</v>
      </c>
      <c r="H11" s="3">
        <v>33.2</v>
      </c>
      <c r="I11" s="3">
        <v>84.8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3">
        <v>31.0</v>
      </c>
      <c r="B12" s="3">
        <v>10.0</v>
      </c>
      <c r="C12" s="3" t="s">
        <v>9</v>
      </c>
      <c r="D12" s="3" t="s">
        <v>40</v>
      </c>
      <c r="E12" s="3" t="s">
        <v>41</v>
      </c>
      <c r="F12" s="3" t="s">
        <v>42</v>
      </c>
      <c r="G12" s="3" t="s">
        <v>43</v>
      </c>
      <c r="H12" s="3">
        <v>42.9</v>
      </c>
      <c r="I12" s="3">
        <v>94.8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3">
        <v>43.0</v>
      </c>
      <c r="B13" s="3">
        <v>9.0</v>
      </c>
      <c r="C13" s="3" t="s">
        <v>9</v>
      </c>
      <c r="D13" s="3" t="s">
        <v>44</v>
      </c>
      <c r="E13" s="3" t="s">
        <v>45</v>
      </c>
      <c r="F13" s="3" t="s">
        <v>44</v>
      </c>
      <c r="G13" s="3" t="s">
        <v>46</v>
      </c>
      <c r="H13" s="3">
        <v>49.7</v>
      </c>
      <c r="I13" s="3">
        <v>100.0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5.75" customHeight="1">
      <c r="A14" s="3"/>
      <c r="B14" s="3">
        <f>SUM(B2:B13)</f>
        <v>105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0.43"/>
    <col customWidth="1" min="7" max="7" width="45.29"/>
    <col customWidth="1" min="8" max="8" width="13.14"/>
    <col customWidth="1" min="9" max="9" width="22.29"/>
    <col customWidth="1" min="10" max="21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3">
        <v>61.0</v>
      </c>
      <c r="B2" s="3">
        <v>8.0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>
        <v>54.4</v>
      </c>
      <c r="I2" s="3">
        <v>100.0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3">
        <v>62.0</v>
      </c>
      <c r="B3" s="3">
        <v>9.0</v>
      </c>
      <c r="C3" s="3" t="s">
        <v>47</v>
      </c>
      <c r="D3" s="3" t="s">
        <v>48</v>
      </c>
      <c r="E3" s="3" t="s">
        <v>50</v>
      </c>
      <c r="F3" s="3" t="s">
        <v>52</v>
      </c>
      <c r="G3" s="3" t="s">
        <v>53</v>
      </c>
      <c r="H3" s="3">
        <v>52.0</v>
      </c>
      <c r="I3" s="3">
        <v>97.6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3">
        <v>63.0</v>
      </c>
      <c r="B4" s="3">
        <v>9.0</v>
      </c>
      <c r="C4" s="3" t="s">
        <v>47</v>
      </c>
      <c r="D4" s="3" t="s">
        <v>54</v>
      </c>
      <c r="E4" s="3" t="s">
        <v>55</v>
      </c>
      <c r="F4" s="3" t="s">
        <v>56</v>
      </c>
      <c r="G4" s="3" t="s">
        <v>57</v>
      </c>
      <c r="H4" s="3">
        <v>44.1</v>
      </c>
      <c r="I4" s="3">
        <v>94.6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3">
        <v>64.0</v>
      </c>
      <c r="B5" s="3">
        <v>7.0</v>
      </c>
      <c r="C5" s="3" t="s">
        <v>47</v>
      </c>
      <c r="D5" s="3" t="s">
        <v>58</v>
      </c>
      <c r="E5" s="3" t="s">
        <v>59</v>
      </c>
      <c r="F5" s="3" t="s">
        <v>60</v>
      </c>
      <c r="G5" s="3" t="s">
        <v>61</v>
      </c>
      <c r="H5" s="3">
        <v>35.3</v>
      </c>
      <c r="I5" s="3">
        <v>81.1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5.75" customHeight="1">
      <c r="A6" s="3"/>
      <c r="B6" s="3">
        <f>SUM(B2:B5)</f>
        <v>33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0.43"/>
    <col customWidth="1" min="7" max="7" width="45.29"/>
    <col customWidth="1" min="8" max="8" width="13.43"/>
    <col customWidth="1" min="9" max="9" width="22.29"/>
    <col customWidth="1" min="10" max="21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3">
        <v>44.0</v>
      </c>
      <c r="B2" s="3">
        <v>9.0</v>
      </c>
      <c r="C2" s="3" t="s">
        <v>62</v>
      </c>
      <c r="D2" s="3" t="s">
        <v>63</v>
      </c>
      <c r="E2" s="3" t="s">
        <v>63</v>
      </c>
      <c r="F2" s="3" t="s">
        <v>64</v>
      </c>
      <c r="G2" s="3" t="s">
        <v>65</v>
      </c>
      <c r="H2" s="3">
        <v>29.5</v>
      </c>
      <c r="I2" s="3">
        <v>84.3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3">
        <v>45.0</v>
      </c>
      <c r="B3" s="3">
        <v>8.0</v>
      </c>
      <c r="C3" s="3" t="s">
        <v>62</v>
      </c>
      <c r="D3" s="3" t="s">
        <v>63</v>
      </c>
      <c r="E3" s="3" t="s">
        <v>63</v>
      </c>
      <c r="F3" s="3" t="s">
        <v>66</v>
      </c>
      <c r="G3" s="3" t="s">
        <v>67</v>
      </c>
      <c r="H3" s="3">
        <v>28.7</v>
      </c>
      <c r="I3" s="3">
        <v>82.6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3">
        <v>49.0</v>
      </c>
      <c r="B4" s="3">
        <v>9.0</v>
      </c>
      <c r="C4" s="3" t="s">
        <v>62</v>
      </c>
      <c r="D4" s="3" t="s">
        <v>63</v>
      </c>
      <c r="E4" s="3" t="s">
        <v>68</v>
      </c>
      <c r="F4" s="3" t="s">
        <v>68</v>
      </c>
      <c r="G4" s="3" t="s">
        <v>69</v>
      </c>
      <c r="H4" s="3">
        <v>32.1</v>
      </c>
      <c r="I4" s="3">
        <v>85.9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5.75" customHeight="1">
      <c r="A5" s="3">
        <v>50.0</v>
      </c>
      <c r="B5" s="3">
        <v>11.0</v>
      </c>
      <c r="C5" s="3" t="s">
        <v>62</v>
      </c>
      <c r="D5" s="3" t="s">
        <v>70</v>
      </c>
      <c r="E5" s="3" t="s">
        <v>70</v>
      </c>
      <c r="F5" s="3" t="s">
        <v>70</v>
      </c>
      <c r="G5" s="3" t="s">
        <v>71</v>
      </c>
      <c r="H5" s="3">
        <v>27.8</v>
      </c>
      <c r="I5" s="3">
        <v>89.5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5.75" customHeight="1">
      <c r="A6" s="3">
        <v>51.0</v>
      </c>
      <c r="B6" s="3">
        <v>8.0</v>
      </c>
      <c r="C6" s="3" t="s">
        <v>62</v>
      </c>
      <c r="D6" s="3" t="s">
        <v>70</v>
      </c>
      <c r="E6" s="3" t="s">
        <v>70</v>
      </c>
      <c r="F6" s="3" t="s">
        <v>72</v>
      </c>
      <c r="G6" s="3" t="s">
        <v>73</v>
      </c>
      <c r="H6" s="3">
        <v>36.8</v>
      </c>
      <c r="I6" s="3">
        <v>85.5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5.75" customHeight="1">
      <c r="A7" s="3">
        <v>52.0</v>
      </c>
      <c r="B7" s="3">
        <v>8.0</v>
      </c>
      <c r="C7" s="3" t="s">
        <v>62</v>
      </c>
      <c r="D7" s="3" t="s">
        <v>74</v>
      </c>
      <c r="E7" s="3" t="s">
        <v>75</v>
      </c>
      <c r="F7" s="3" t="s">
        <v>76</v>
      </c>
      <c r="G7" s="3" t="s">
        <v>77</v>
      </c>
      <c r="H7" s="3">
        <v>39.7</v>
      </c>
      <c r="I7" s="3">
        <v>89.8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5.75" customHeight="1">
      <c r="A8" s="3">
        <v>54.0</v>
      </c>
      <c r="B8" s="3">
        <v>9.0</v>
      </c>
      <c r="C8" s="3" t="s">
        <v>62</v>
      </c>
      <c r="D8" s="3" t="s">
        <v>78</v>
      </c>
      <c r="E8" s="3" t="s">
        <v>79</v>
      </c>
      <c r="F8" s="3" t="s">
        <v>78</v>
      </c>
      <c r="G8" s="3" t="s">
        <v>80</v>
      </c>
      <c r="H8" s="3">
        <v>33.7</v>
      </c>
      <c r="I8" s="3">
        <v>83.7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5.75" customHeight="1">
      <c r="A9" s="3">
        <v>56.0</v>
      </c>
      <c r="B9" s="3">
        <v>10.0</v>
      </c>
      <c r="C9" s="3" t="s">
        <v>62</v>
      </c>
      <c r="D9" s="3" t="s">
        <v>81</v>
      </c>
      <c r="E9" s="3" t="s">
        <v>82</v>
      </c>
      <c r="F9" s="3" t="s">
        <v>83</v>
      </c>
      <c r="G9" s="3" t="s">
        <v>84</v>
      </c>
      <c r="H9" s="3">
        <v>23.3</v>
      </c>
      <c r="I9" s="3">
        <v>83.9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5.75" customHeight="1">
      <c r="A10" s="3"/>
      <c r="B10" s="3">
        <f>SUM(B2:B9)</f>
        <v>72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2024-05-28T15:46:27Z</dcterms:created>
  <dc:creator>openpyxl</dc:creator>
</cp:coreProperties>
</file>