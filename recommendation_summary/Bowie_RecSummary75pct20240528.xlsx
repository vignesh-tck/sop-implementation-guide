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wie Town Center" sheetId="1" r:id="rId4"/>
    <sheet state="visible" name="Old Town Bowie" sheetId="2" r:id="rId5"/>
    <sheet state="visible" name="Route 450 Mainstreet" sheetId="3" r:id="rId6"/>
  </sheets>
  <definedNames>
    <definedName hidden="1" localSheetId="0" name="_xlnm._FilterDatabase">'Bowie Town Center'!$A$1:$I$28</definedName>
    <definedName hidden="1" localSheetId="2" name="_xlnm._FilterDatabase">'Route 450 Mainstreet'!$A$1:$I$14</definedName>
  </definedNames>
  <calcPr/>
  <extLst>
    <ext uri="GoogleSheetsCustomDataVersion2">
      <go:sheetsCustomData xmlns:go="http://customooxmlschemas.google.com/" r:id="rId7" roundtripDataChecksum="9q9B3NSb6YaBuxsko7YA9ul6B80lfYAA6Nk8ZKNSX6E="/>
    </ext>
  </extLst>
</workbook>
</file>

<file path=xl/sharedStrings.xml><?xml version="1.0" encoding="utf-8"?>
<sst xmlns="http://schemas.openxmlformats.org/spreadsheetml/2006/main" count="252" uniqueCount="132">
  <si>
    <t>sgmntid</t>
  </si>
  <si>
    <t>No of Rec</t>
  </si>
  <si>
    <t>neighborhood</t>
  </si>
  <si>
    <t>StreetName</t>
  </si>
  <si>
    <t>IntersectionA</t>
  </si>
  <si>
    <t>IntersectionB</t>
  </si>
  <si>
    <t>Features to be changed</t>
  </si>
  <si>
    <t>SoPIndex Before Score</t>
  </si>
  <si>
    <t>SoPIndex New Score (Projected)</t>
  </si>
  <si>
    <t>Bowie Town Center</t>
  </si>
  <si>
    <t>Harbour Way</t>
  </si>
  <si>
    <t>Harbour Way &amp; Crain Highway</t>
  </si>
  <si>
    <t>Harbour Way &amp; Mitchellville Road</t>
  </si>
  <si>
    <t>Public Garden &amp;
Surface parking lot &amp;
General maintenance of the buildings &amp;
Angled/On street parking &amp;
Museum, Auditorium Concert Hall, Theater &amp;
Crosswalks 1 &amp;
Vertical mixed used buildings &amp;
Playing or Sport Field &amp;
Arcades &amp;
Post Office, Police Station Courthouse, DMV</t>
  </si>
  <si>
    <t>4406 Crain Highway</t>
  </si>
  <si>
    <t>4406 Crain Highway &amp; Harbour Way</t>
  </si>
  <si>
    <t>4406 Crain Highway &amp; Crain Highway</t>
  </si>
  <si>
    <t>Public Garden &amp;
Different Road Surface or Paving 2 &amp;
Condo/Apartment Housing &amp;
Surface parking lot &amp;
General maintenance of the buildings &amp;
Museum, Auditorium Concert Hall, Theater &amp;
Playing or Sport Field &amp;
Arcades</t>
  </si>
  <si>
    <t>Collington Rd</t>
  </si>
  <si>
    <t>Collington Rd &amp; Crain Highway</t>
  </si>
  <si>
    <t>Collington Rd &amp; Mitchellville Road</t>
  </si>
  <si>
    <t>Public Garden &amp;
General maintenance of the buildings &amp;
Angled/On street parking &amp;
Museum, Auditorium Concert Hall, Theater &amp;
Crosswalks 1 &amp;
Playing or Sport Field &amp;
Vertical mixed used buildings &amp;
Arcades</t>
  </si>
  <si>
    <t>Mitchellville Road</t>
  </si>
  <si>
    <t>Mitchellville Road &amp; Crain Highway</t>
  </si>
  <si>
    <t>Public Garden &amp;
Different Road Surface or Paving 2 &amp;
Condo/Apartment Housing &amp;
Surface parking lot &amp;
Libraries/Bookstores &amp;
Angled/On street parking &amp;
Playing or Sport Field &amp;
Arcades</t>
  </si>
  <si>
    <t>Public Garden &amp;
Different Road Surface or Paving 2 &amp;
General maintenance of the buildings &amp;
Museum, Auditorium Concert Hall, Theater &amp;
Playing or Sport Field &amp;
Vertical mixed used buildings &amp;
Arcades &amp;
Dumpsters</t>
  </si>
  <si>
    <t>Mitchellville Road &amp; In the City with Crystal</t>
  </si>
  <si>
    <t>Public Garden &amp;
Movie Theater &amp;
Different Road Surface or Paving 2 &amp;
Big Box Shops &amp;
Condo/Apartment Housing &amp;
General maintenance of the buildings &amp;
Playing or Sport Field &amp;
Arcades</t>
  </si>
  <si>
    <t>Different Road Surface or Paving &amp;
Public Garden &amp;
Different Road Surface or Paving 2 &amp;
Surface parking lot &amp;
Museum, Auditorium Concert Hall, Theater &amp;
Playing or Sport Field &amp;
Vertical mixed used buildings &amp;
Arcades</t>
  </si>
  <si>
    <t>Mitchellville Road &amp; Harbour Way</t>
  </si>
  <si>
    <t>Mitchellville Road &amp; Heritage Blvd</t>
  </si>
  <si>
    <t>Public Garden &amp;
Vehicle lanes &amp;
Angled/On street parking &amp;
Museum, Auditorium Concert Hall, Theater &amp;
Benches/chairs &amp;
Playing or Sport Field &amp;
Vertical mixed used buildings &amp;
Dumpsters</t>
  </si>
  <si>
    <t>Heritage Blvd</t>
  </si>
  <si>
    <t>Heritage Blvd &amp; Mitchellville Road</t>
  </si>
  <si>
    <t>Heritage Blvd &amp; Crain Highway</t>
  </si>
  <si>
    <t>Public Garden &amp;
Big Box Shops &amp;
Community Center or Library &amp;
Surface parking lot &amp;
Libraries/Bookstores &amp;
General maintenance of the buildings &amp;
Single Family Home/Duplex Attached &amp;
Angled/On street parking &amp;
Crosswalks 1 &amp;
Playing or Sport Field &amp;
Arcades</t>
  </si>
  <si>
    <t>Evergreen Parkway</t>
  </si>
  <si>
    <t>Evergreen Parkway &amp; Fred Robinson Way</t>
  </si>
  <si>
    <t>Public Garden &amp;
Movie Theater &amp;
General maintenance of the buildings &amp;
Angled/On street parking &amp;
Crosswalks 1 &amp;
Playing or Sport Field &amp;
Vertical mixed used buildings &amp;
Arcades</t>
  </si>
  <si>
    <t>Emerald Lane</t>
  </si>
  <si>
    <t>Emerald Lane &amp; Emerald Lane (parking lane)</t>
  </si>
  <si>
    <t>Public Garden &amp;
Surface parking lot &amp;
Libraries/Bookstores &amp;
General maintenance of the buildings &amp;
Crosswalks 1 &amp;
Playing or Sport Field &amp;
Vertical mixed used buildings &amp;
Arcades</t>
  </si>
  <si>
    <t>Emerald Way</t>
  </si>
  <si>
    <t>Emerald Way &amp; Town Center Blvd</t>
  </si>
  <si>
    <t>Public Garden &amp;
Movie Theater &amp;
Big Box Shops &amp;
Crosswalks 1 &amp;
Playing or Sport Field &amp;
Vertical mixed used buildings &amp;
Arcades</t>
  </si>
  <si>
    <t>Evergreen Parkway &amp; Town Center Blvd</t>
  </si>
  <si>
    <t>Public Garden &amp;
Movie Theater &amp;
Different Road Surface or Paving 2 &amp;
Condo/Apartment Housing &amp;
Surface parking lot &amp;
General maintenance of the buildings &amp;
Playing or Sport Field &amp;
Arcades</t>
  </si>
  <si>
    <t>Public Garden &amp;
Big Box Shops &amp;
Condo/Apartment Housing &amp;
Surface parking lot &amp;
General maintenance of the buildings &amp;
Museum, Auditorium Concert Hall, Theater &amp;
Crosswalks 1 &amp;
Playing or Sport Field &amp;
Arcades</t>
  </si>
  <si>
    <t>Emerald Way &amp; Evergreen Parkway</t>
  </si>
  <si>
    <t>Public Garden &amp;
Different Road Surface or Paving 2 &amp;
Big Box Shops &amp;
General maintenance of the buildings &amp;
Playing or Sport Field &amp;
Farmers Market &amp;
Vertical mixed used buildings &amp;
Arcades</t>
  </si>
  <si>
    <t>Evergreen Parkway &amp; Northview Dr</t>
  </si>
  <si>
    <t>Public Garden &amp;
Angled/On street parking &amp;
Museum, Auditorium Concert Hall, Theater &amp;
Crosswalks 1 &amp;
Vertical mixed used buildings &amp;
Playing or Sport Field &amp;
Arcades</t>
  </si>
  <si>
    <t>Northview Dr</t>
  </si>
  <si>
    <t>Northview Dr &amp; New Haven Dr</t>
  </si>
  <si>
    <t>Northview Dr &amp; Health Center Dr</t>
  </si>
  <si>
    <t>Public Garden &amp;
Movie Theater &amp;
Condo/Apartment Housing &amp;
Angled/On street parking &amp;
Crosswalks 1 &amp;
Benches/chairs &amp;
Playing or Sport Field &amp;
Blank walls &amp;
Arcades &amp;
Dumpsters</t>
  </si>
  <si>
    <t>Northview Dr &amp; Collington Rd</t>
  </si>
  <si>
    <t>Public Garden &amp;
Condo/Apartment Housing &amp;
Surface parking lot &amp;
Angled/On street parking &amp;
Museum, Auditorium Concert Hall, Theater &amp;
Crosswalks 1 &amp;
Playing or Sport Field &amp;
Arcades</t>
  </si>
  <si>
    <t>Collington Rd &amp; Northview Dr</t>
  </si>
  <si>
    <t>Collington Rd &amp; Town Center Blvd</t>
  </si>
  <si>
    <t>Public Garden &amp;
Movie Theater &amp;
Condo/Apartment Housing &amp;
Vehicle lanes &amp;
Angled/On street parking &amp;
Crosswalks 1 &amp;
Playing or Sport Field &amp;
Arcades</t>
  </si>
  <si>
    <t>Collington Rd &amp; Evergreen Parkway</t>
  </si>
  <si>
    <t>Public Garden &amp;
Big Box Shops &amp;
Condo/Apartment Housing &amp;
Vehicle lanes &amp;
Midblock crossing &amp;
Angled/On street parking &amp;
Museum, Auditorium Concert Hall, Theater &amp;
Crosswalks 1 &amp;
Playing or Sport Field</t>
  </si>
  <si>
    <t>Health Center Dr</t>
  </si>
  <si>
    <t>Health Center Dr &amp; Emerald Way</t>
  </si>
  <si>
    <t>Public Garden &amp;
Different Road Surface or Paving 2 &amp;
Surface parking lot &amp;
Museum, Auditorium Concert Hall, Theater &amp;
Playing or Sport Field &amp;
Vertical mixed used buildings &amp;
Arcades</t>
  </si>
  <si>
    <t>Emerald Way &amp; Health Center Dr</t>
  </si>
  <si>
    <t>Emerald Way &amp; Northview Dr</t>
  </si>
  <si>
    <t>Public Garden &amp;
Shopping Mall &amp;
Movie Theater &amp;
Condo/Apartment Housing &amp;
Angled/On street parking &amp;
Crosswalks 1 &amp;
Playing or Sport Field &amp;
Arcades</t>
  </si>
  <si>
    <t>Northview Dr &amp; Old Collington Rd</t>
  </si>
  <si>
    <t>Northview Dr &amp; Ensleigh Ln</t>
  </si>
  <si>
    <t>Public Garden &amp;
Movie Theater &amp;
Different Road Surface or Paving 2 &amp;
Condo/Apartment Housing &amp;
Surface parking lot &amp;
Playing or Sport Field &amp;
Arcades</t>
  </si>
  <si>
    <t>Health Center Dr &amp; Northview Dr</t>
  </si>
  <si>
    <t>Health Center Dr &amp; Health Center Dr Traffic Circle</t>
  </si>
  <si>
    <t>Public Garden &amp;
Different Road Surface or Paving 2 &amp;
Condo/Apartment Housing &amp;
Surface parking lot &amp;
Angled/On street parking &amp;
Playing or Sport Field &amp;
Farmers Market &amp;
Arcades</t>
  </si>
  <si>
    <t>Collington Rd &amp; John Hanson Highway</t>
  </si>
  <si>
    <t>Public Garden &amp;
Movie Theater &amp;
Vehicle lanes &amp;
Surface parking lot &amp;
Single Family Home/Duplex Attached &amp;
Playing or Sport Field &amp;
Arcades</t>
  </si>
  <si>
    <t>Major Lansdale Blvd</t>
  </si>
  <si>
    <t>Major Lansdale Blvd &amp; Northview Dr</t>
  </si>
  <si>
    <t>Different Road Surface or Paving &amp;
Public Garden &amp;
Different Road Surface or Paving 2 &amp;
Condo/Apartment Housing &amp;
Surface parking lot &amp;
Libraries/Bookstores &amp;
Angled/On street parking &amp;
Playing or Sport Field &amp;
Arcades</t>
  </si>
  <si>
    <t>Old Town Bowie</t>
  </si>
  <si>
    <t>Chestnut Ave</t>
  </si>
  <si>
    <t>Chestnut Ave &amp; 8th Street</t>
  </si>
  <si>
    <t>Chestnut Ave &amp; 9th Street</t>
  </si>
  <si>
    <t>Different Road Surface or Paving &amp;
Movie Theater &amp;
Different Road Surface or Paving 2 &amp;
General maintenance of the buildings &amp;
Angled/On street parking &amp;
Playing or Sport Field &amp;
Vertical mixed used buildings &amp;
Arcades</t>
  </si>
  <si>
    <t>Chapel Ave</t>
  </si>
  <si>
    <t>Chapel Ave &amp; 8th Street</t>
  </si>
  <si>
    <t>Chapel Ave &amp; 9th Street</t>
  </si>
  <si>
    <t>Public Garden &amp;
Different Road Surface or Paving 2 &amp;
General maintenance of the buildings &amp;
Playing or Sport Field &amp;
Farmers Market &amp;
Vertical mixed used buildings &amp;
Arcades</t>
  </si>
  <si>
    <t>9th Street</t>
  </si>
  <si>
    <t>9th Street &amp; Chapel Ave</t>
  </si>
  <si>
    <t>9th Street &amp; Chestnut Ave</t>
  </si>
  <si>
    <t>Public Garden &amp;
Big Box Shops &amp;
Single Family Home/Duplex Attached &amp;
General maintenance of the buildings &amp;
Benches/chairs &amp;
Farmers Market &amp;
Playing or Sport Field &amp;
Arcades</t>
  </si>
  <si>
    <t>9th Street &amp; 11th Street</t>
  </si>
  <si>
    <t>Different Road Surface or Paving &amp;
Public Garden &amp;
Movie Theater &amp;
Different Road Surface or Paving 2 &amp;
Single Family Home/Duplex Attached &amp;
General maintenance of the buildings &amp;
Angled/On street parking &amp;
Playing or Sport Field &amp;
Arcades</t>
  </si>
  <si>
    <t>Chapel Ave &amp; Railroad Ave</t>
  </si>
  <si>
    <t>Different Road Surface or Paving &amp;
Public Garden &amp;
Movie Theater &amp;
Different Road Surface or Paving 2 &amp;
Angled/On street parking &amp;
Playing or Sport Field &amp;
Vertical mixed used buildings &amp;
Arcades &amp;
Dumpsters</t>
  </si>
  <si>
    <t>Railroad Ave</t>
  </si>
  <si>
    <t>Railroad Ave &amp; Mapel Ave</t>
  </si>
  <si>
    <t>Railroad Ave &amp; Chapel Ave</t>
  </si>
  <si>
    <t>Chestnut Ave &amp; Old Town Bowie Welcome Center</t>
  </si>
  <si>
    <t>Chestnut Ave &amp; 11th Street</t>
  </si>
  <si>
    <t>Different Road Surface or Paving &amp;
Public Garden &amp;
Different Road Surface or Paving 2 &amp;
General maintenance of the buildings &amp;
Angled/On street parking &amp;
Playing or Sport Field &amp;
Farmers Market &amp;
Vertical mixed used buildings &amp;
Arcades</t>
  </si>
  <si>
    <t>12th Street</t>
  </si>
  <si>
    <t>12th Street &amp; Chestnut Ave</t>
  </si>
  <si>
    <t>Public Garden &amp;
Movie Theater &amp;
Different Road Surface or Paving 2 &amp;
Angled/On street parking &amp;
Playing or Sport Field &amp;
Vertical mixed used buildings &amp;
Arcades</t>
  </si>
  <si>
    <t>Route 450 Mainstreet</t>
  </si>
  <si>
    <t>Annapolis Rd</t>
  </si>
  <si>
    <t>Annapolis Rd &amp; Superior Ln</t>
  </si>
  <si>
    <t>Public Garden &amp;
Surface parking lot &amp;
General maintenance of the buildings &amp;
Angled/On street parking &amp;
Crosswalks 1 &amp;
Farmers Market &amp;
Playing or Sport Field &amp;
Vertical mixed used buildings &amp;
Arcades</t>
  </si>
  <si>
    <t>Annapolis Rd &amp; Stonybrook Dr</t>
  </si>
  <si>
    <t>Public Garden &amp;
Surface parking lot &amp;
General maintenance of the buildings &amp;
Angled/On street parking &amp;
Playing or Sport Field &amp;
Farmers Market &amp;
Vertical mixed used buildings &amp;
Arcades</t>
  </si>
  <si>
    <t>Annapolis Rd &amp; Belair Dr</t>
  </si>
  <si>
    <t>Condo/Apartment Housing &amp;
Surface parking lot &amp;
General maintenance of the buildings &amp;
Angled/On street parking &amp;
Museum, Auditorium Concert Hall, Theater &amp;
Benches/chairs</t>
  </si>
  <si>
    <t>Annapolis Rd &amp; Scarlet Oak Terrace</t>
  </si>
  <si>
    <t>Public Garden &amp;
Movie Theater &amp;
Big Box Shops &amp;
Plaza/Square/Courtyard &amp;
General maintenance of the buildings &amp;
Angled/On street parking &amp;
Playing or Sport Field &amp;
Vertical mixed used buildings &amp;
Arcades</t>
  </si>
  <si>
    <t>Annapolis Rd &amp; 15660 Annapolis Rd</t>
  </si>
  <si>
    <t>Annapolis Rd &amp; 15500 Annapolis Rd</t>
  </si>
  <si>
    <t>Public Garden &amp;
Big Box Shops &amp;
Plaza/Square/Courtyard &amp;
Surface parking lot &amp;
Angled/On street parking &amp;
Crosswalks 1 &amp;
Vertical mixed used buildings &amp;
Playing or Sport Field &amp;
Arcades</t>
  </si>
  <si>
    <t>Public Garden &amp;
Different Road Surface or Paving 2 &amp;
Plaza/Square/Courtyard &amp;
Surface parking lot &amp;
Single Family Home/Duplex Attached &amp;
General maintenance of the buildings &amp;
Museum, Auditorium Concert Hall, Theater &amp;
Playing or Sport Field &amp;
Arcades</t>
  </si>
  <si>
    <t>15500 Annapolis Rd</t>
  </si>
  <si>
    <t>Different Road Surface or Paving 1 &amp;
Public Garden &amp;
Different Road Surface or Paving 2 &amp;
Condo/Apartment Housing &amp;
Plaza/Square/Courtyard &amp;
Surface parking lot &amp;
General maintenance of the buildings &amp;
Angled/On street parking &amp;
Museum, Auditorium Concert Hall, Theater &amp;
Playing or Sport Field &amp;
Arcades</t>
  </si>
  <si>
    <t>15500 Annapolis Rd &amp; Marquette Ln</t>
  </si>
  <si>
    <t>Public Garden &amp;
Different Road Surface or Paving 2 &amp;
Condo/Apartment Housing &amp;
Plaza/Square/Courtyard &amp;
Surface parking lot &amp;
Museum, Auditorium Concert Hall, Theater &amp;
Playing or Sport Field &amp;
Arcades</t>
  </si>
  <si>
    <t>Superior Ln</t>
  </si>
  <si>
    <t>Superior Ln &amp; 15660 Annapolis Rd</t>
  </si>
  <si>
    <t>Superior Ln &amp; 15511 Annapolis Rd</t>
  </si>
  <si>
    <t>Public Garden &amp;
Movie Theater &amp;
Surface parking lot &amp;
General maintenance of the buildings &amp;
Crosswalks 1 &amp;
Playing or Sport Field &amp;
Vertical mixed used buildings &amp;
Arcades</t>
  </si>
  <si>
    <t>Public Garden &amp;
Hotel/Hospitality &amp;
Surface parking lot &amp;
Crosswalks 1 &amp;
Benches/chairs &amp;
Vertical mixed used buildings &amp;
Playing or Sport Field</t>
  </si>
  <si>
    <t>15475 Annapolis Rd</t>
  </si>
  <si>
    <t>15475 Annapolis Rd &amp; Annapolis Rd</t>
  </si>
  <si>
    <t>Crosswalks in all intersections 1 &amp; 2, Different Road Surface or Paving 1 &amp;
Public Garden &amp;
Different Road Surface or Paving 2 &amp;
Condo/Apartment Housing &amp;
Surface parking lot &amp;
Libraries/Bookstores &amp;
General maintenance of the buildings &amp;
Playing or Sport Field &amp;
Arcades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</si>
</sst>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4.29"/>
    <col customWidth="1" min="7" max="7" width="48.14"/>
    <col customWidth="1" min="8" max="8" width="16.71"/>
    <col customWidth="1" min="9" max="9" width="16.57"/>
    <col customWidth="1" min="10" max="22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3">
        <v>1.0</v>
      </c>
      <c r="B2" s="3">
        <v>10.0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v>35.2</v>
      </c>
      <c r="I2" s="3">
        <v>87.5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3">
        <v>2.0</v>
      </c>
      <c r="B3" s="3">
        <v>8.0</v>
      </c>
      <c r="C3" s="3" t="s">
        <v>9</v>
      </c>
      <c r="D3" s="3" t="s">
        <v>14</v>
      </c>
      <c r="E3" s="3" t="s">
        <v>15</v>
      </c>
      <c r="F3" s="3" t="s">
        <v>16</v>
      </c>
      <c r="G3" s="3" t="s">
        <v>17</v>
      </c>
      <c r="H3" s="3">
        <v>35.6</v>
      </c>
      <c r="I3" s="3">
        <v>80.6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3">
        <v>3.0</v>
      </c>
      <c r="B4" s="3">
        <v>8.0</v>
      </c>
      <c r="C4" s="3" t="s">
        <v>9</v>
      </c>
      <c r="D4" s="3" t="s">
        <v>18</v>
      </c>
      <c r="E4" s="3" t="s">
        <v>19</v>
      </c>
      <c r="F4" s="3" t="s">
        <v>20</v>
      </c>
      <c r="G4" s="3" t="s">
        <v>21</v>
      </c>
      <c r="H4" s="3">
        <v>43.3</v>
      </c>
      <c r="I4" s="3">
        <v>94.5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3">
        <v>6.0</v>
      </c>
      <c r="B5" s="3">
        <v>8.0</v>
      </c>
      <c r="C5" s="3" t="s">
        <v>9</v>
      </c>
      <c r="D5" s="3" t="s">
        <v>22</v>
      </c>
      <c r="E5" s="3" t="s">
        <v>23</v>
      </c>
      <c r="F5" s="3" t="s">
        <v>22</v>
      </c>
      <c r="G5" s="3" t="s">
        <v>24</v>
      </c>
      <c r="H5" s="3">
        <v>32.7</v>
      </c>
      <c r="I5" s="3">
        <v>84.2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3">
        <v>7.0</v>
      </c>
      <c r="B6" s="3">
        <v>8.0</v>
      </c>
      <c r="C6" s="3" t="s">
        <v>9</v>
      </c>
      <c r="D6" s="3" t="s">
        <v>22</v>
      </c>
      <c r="E6" s="3" t="s">
        <v>23</v>
      </c>
      <c r="F6" s="3" t="s">
        <v>22</v>
      </c>
      <c r="G6" s="3" t="s">
        <v>25</v>
      </c>
      <c r="H6" s="3">
        <v>22.0</v>
      </c>
      <c r="I6" s="3">
        <v>70.0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3">
        <v>9.0</v>
      </c>
      <c r="B7" s="3">
        <v>8.0</v>
      </c>
      <c r="C7" s="3" t="s">
        <v>9</v>
      </c>
      <c r="D7" s="3" t="s">
        <v>22</v>
      </c>
      <c r="E7" s="3" t="s">
        <v>26</v>
      </c>
      <c r="F7" s="3" t="s">
        <v>22</v>
      </c>
      <c r="G7" s="3" t="s">
        <v>27</v>
      </c>
      <c r="H7" s="3">
        <v>25.9</v>
      </c>
      <c r="I7" s="3">
        <v>76.9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3">
        <v>10.0</v>
      </c>
      <c r="B8" s="3">
        <v>8.0</v>
      </c>
      <c r="C8" s="3" t="s">
        <v>9</v>
      </c>
      <c r="D8" s="3" t="s">
        <v>22</v>
      </c>
      <c r="E8" s="3" t="s">
        <v>22</v>
      </c>
      <c r="F8" s="3" t="s">
        <v>22</v>
      </c>
      <c r="G8" s="3" t="s">
        <v>28</v>
      </c>
      <c r="H8" s="3">
        <v>30.4</v>
      </c>
      <c r="I8" s="3">
        <v>81.7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3">
        <v>11.0</v>
      </c>
      <c r="B9" s="3">
        <v>8.0</v>
      </c>
      <c r="C9" s="3" t="s">
        <v>9</v>
      </c>
      <c r="D9" s="3" t="s">
        <v>22</v>
      </c>
      <c r="E9" s="3" t="s">
        <v>29</v>
      </c>
      <c r="F9" s="3" t="s">
        <v>30</v>
      </c>
      <c r="G9" s="3" t="s">
        <v>31</v>
      </c>
      <c r="H9" s="3">
        <v>43.1</v>
      </c>
      <c r="I9" s="3">
        <v>91.7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3">
        <v>13.0</v>
      </c>
      <c r="B10" s="3">
        <v>11.0</v>
      </c>
      <c r="C10" s="3" t="s">
        <v>9</v>
      </c>
      <c r="D10" s="3" t="s">
        <v>32</v>
      </c>
      <c r="E10" s="3" t="s">
        <v>33</v>
      </c>
      <c r="F10" s="3" t="s">
        <v>34</v>
      </c>
      <c r="G10" s="3" t="s">
        <v>35</v>
      </c>
      <c r="H10" s="3">
        <v>39.1</v>
      </c>
      <c r="I10" s="3">
        <v>91.2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3">
        <v>17.0</v>
      </c>
      <c r="B11" s="3">
        <v>8.0</v>
      </c>
      <c r="C11" s="3" t="s">
        <v>9</v>
      </c>
      <c r="D11" s="3" t="s">
        <v>36</v>
      </c>
      <c r="E11" s="3" t="s">
        <v>36</v>
      </c>
      <c r="F11" s="3" t="s">
        <v>37</v>
      </c>
      <c r="G11" s="3" t="s">
        <v>38</v>
      </c>
      <c r="H11" s="3">
        <v>51.1</v>
      </c>
      <c r="I11" s="3">
        <v>95.0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3">
        <v>18.0</v>
      </c>
      <c r="B12" s="3">
        <v>8.0</v>
      </c>
      <c r="C12" s="3" t="s">
        <v>9</v>
      </c>
      <c r="D12" s="3" t="s">
        <v>39</v>
      </c>
      <c r="E12" s="3" t="s">
        <v>40</v>
      </c>
      <c r="F12" s="3" t="s">
        <v>40</v>
      </c>
      <c r="G12" s="3" t="s">
        <v>41</v>
      </c>
      <c r="H12" s="3">
        <v>39.8</v>
      </c>
      <c r="I12" s="3">
        <v>93.0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3">
        <v>20.0</v>
      </c>
      <c r="B13" s="3">
        <v>7.0</v>
      </c>
      <c r="C13" s="3" t="s">
        <v>9</v>
      </c>
      <c r="D13" s="3" t="s">
        <v>42</v>
      </c>
      <c r="E13" s="3" t="s">
        <v>42</v>
      </c>
      <c r="F13" s="3" t="s">
        <v>43</v>
      </c>
      <c r="G13" s="3" t="s">
        <v>44</v>
      </c>
      <c r="H13" s="3">
        <v>51.2</v>
      </c>
      <c r="I13" s="3">
        <v>97.3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3">
        <v>24.0</v>
      </c>
      <c r="B14" s="3">
        <v>8.0</v>
      </c>
      <c r="C14" s="3" t="s">
        <v>9</v>
      </c>
      <c r="D14" s="3" t="s">
        <v>36</v>
      </c>
      <c r="E14" s="3" t="s">
        <v>36</v>
      </c>
      <c r="F14" s="3" t="s">
        <v>45</v>
      </c>
      <c r="G14" s="3" t="s">
        <v>46</v>
      </c>
      <c r="H14" s="3">
        <v>42.2</v>
      </c>
      <c r="I14" s="3">
        <v>83.8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3">
        <v>25.0</v>
      </c>
      <c r="B15" s="3">
        <v>9.0</v>
      </c>
      <c r="C15" s="3" t="s">
        <v>9</v>
      </c>
      <c r="D15" s="3" t="s">
        <v>36</v>
      </c>
      <c r="E15" s="3" t="s">
        <v>45</v>
      </c>
      <c r="F15" s="3" t="s">
        <v>36</v>
      </c>
      <c r="G15" s="3" t="s">
        <v>47</v>
      </c>
      <c r="H15" s="3">
        <v>33.3</v>
      </c>
      <c r="I15" s="3">
        <v>88.3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3">
        <v>28.0</v>
      </c>
      <c r="B16" s="3">
        <v>8.0</v>
      </c>
      <c r="C16" s="3" t="s">
        <v>9</v>
      </c>
      <c r="D16" s="3" t="s">
        <v>42</v>
      </c>
      <c r="E16" s="3" t="s">
        <v>42</v>
      </c>
      <c r="F16" s="3" t="s">
        <v>48</v>
      </c>
      <c r="G16" s="3" t="s">
        <v>49</v>
      </c>
      <c r="H16" s="3">
        <v>33.2</v>
      </c>
      <c r="I16" s="3">
        <v>84.8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3">
        <v>30.0</v>
      </c>
      <c r="B17" s="3">
        <v>7.0</v>
      </c>
      <c r="C17" s="3" t="s">
        <v>9</v>
      </c>
      <c r="D17" s="3" t="s">
        <v>36</v>
      </c>
      <c r="E17" s="3" t="s">
        <v>36</v>
      </c>
      <c r="F17" s="3" t="s">
        <v>50</v>
      </c>
      <c r="G17" s="3" t="s">
        <v>51</v>
      </c>
      <c r="H17" s="3">
        <v>29.9</v>
      </c>
      <c r="I17" s="3">
        <v>74.0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3">
        <v>31.0</v>
      </c>
      <c r="B18" s="3">
        <v>10.0</v>
      </c>
      <c r="C18" s="3" t="s">
        <v>9</v>
      </c>
      <c r="D18" s="3" t="s">
        <v>52</v>
      </c>
      <c r="E18" s="3" t="s">
        <v>53</v>
      </c>
      <c r="F18" s="3" t="s">
        <v>54</v>
      </c>
      <c r="G18" s="3" t="s">
        <v>55</v>
      </c>
      <c r="H18" s="3">
        <v>42.9</v>
      </c>
      <c r="I18" s="3">
        <v>94.8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3">
        <v>32.0</v>
      </c>
      <c r="B19" s="3">
        <v>8.0</v>
      </c>
      <c r="C19" s="3" t="s">
        <v>9</v>
      </c>
      <c r="D19" s="3" t="s">
        <v>52</v>
      </c>
      <c r="E19" s="3" t="s">
        <v>54</v>
      </c>
      <c r="F19" s="3" t="s">
        <v>56</v>
      </c>
      <c r="G19" s="3" t="s">
        <v>57</v>
      </c>
      <c r="H19" s="3">
        <v>41.2</v>
      </c>
      <c r="I19" s="3">
        <v>89.3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3">
        <v>33.0</v>
      </c>
      <c r="B20" s="3">
        <v>8.0</v>
      </c>
      <c r="C20" s="3" t="s">
        <v>9</v>
      </c>
      <c r="D20" s="3" t="s">
        <v>18</v>
      </c>
      <c r="E20" s="3" t="s">
        <v>58</v>
      </c>
      <c r="F20" s="3" t="s">
        <v>59</v>
      </c>
      <c r="G20" s="3" t="s">
        <v>60</v>
      </c>
      <c r="H20" s="3">
        <v>48.3</v>
      </c>
      <c r="I20" s="3">
        <v>93.8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5.75" customHeight="1">
      <c r="A21" s="3">
        <v>34.0</v>
      </c>
      <c r="B21" s="3">
        <v>9.0</v>
      </c>
      <c r="C21" s="3" t="s">
        <v>9</v>
      </c>
      <c r="D21" s="3" t="s">
        <v>18</v>
      </c>
      <c r="E21" s="3" t="s">
        <v>59</v>
      </c>
      <c r="F21" s="3" t="s">
        <v>61</v>
      </c>
      <c r="G21" s="3" t="s">
        <v>62</v>
      </c>
      <c r="H21" s="3">
        <v>36.0</v>
      </c>
      <c r="I21" s="3">
        <v>83.0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5.75" customHeight="1">
      <c r="A22" s="3">
        <v>36.0</v>
      </c>
      <c r="B22" s="3">
        <v>7.0</v>
      </c>
      <c r="C22" s="3" t="s">
        <v>9</v>
      </c>
      <c r="D22" s="3" t="s">
        <v>63</v>
      </c>
      <c r="E22" s="3" t="s">
        <v>63</v>
      </c>
      <c r="F22" s="3" t="s">
        <v>64</v>
      </c>
      <c r="G22" s="3" t="s">
        <v>65</v>
      </c>
      <c r="H22" s="3">
        <v>33.4</v>
      </c>
      <c r="I22" s="3">
        <v>78.5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5.75" customHeight="1">
      <c r="A23" s="3">
        <v>37.0</v>
      </c>
      <c r="B23" s="3">
        <v>8.0</v>
      </c>
      <c r="C23" s="3" t="s">
        <v>9</v>
      </c>
      <c r="D23" s="3" t="s">
        <v>42</v>
      </c>
      <c r="E23" s="3" t="s">
        <v>66</v>
      </c>
      <c r="F23" s="3" t="s">
        <v>67</v>
      </c>
      <c r="G23" s="3" t="s">
        <v>68</v>
      </c>
      <c r="H23" s="3">
        <v>39.1</v>
      </c>
      <c r="I23" s="3">
        <v>82.9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5.75" customHeight="1">
      <c r="A24" s="3">
        <v>40.0</v>
      </c>
      <c r="B24" s="3">
        <v>7.0</v>
      </c>
      <c r="C24" s="3" t="s">
        <v>9</v>
      </c>
      <c r="D24" s="3" t="s">
        <v>52</v>
      </c>
      <c r="E24" s="3" t="s">
        <v>69</v>
      </c>
      <c r="F24" s="3" t="s">
        <v>70</v>
      </c>
      <c r="G24" s="3" t="s">
        <v>71</v>
      </c>
      <c r="H24" s="3">
        <v>39.8</v>
      </c>
      <c r="I24" s="3">
        <v>84.9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5.75" customHeight="1">
      <c r="A25" s="3">
        <v>41.0</v>
      </c>
      <c r="B25" s="3">
        <v>8.0</v>
      </c>
      <c r="C25" s="3" t="s">
        <v>9</v>
      </c>
      <c r="D25" s="3" t="s">
        <v>63</v>
      </c>
      <c r="E25" s="3" t="s">
        <v>72</v>
      </c>
      <c r="F25" s="3" t="s">
        <v>73</v>
      </c>
      <c r="G25" s="3" t="s">
        <v>74</v>
      </c>
      <c r="H25" s="3">
        <v>53.5</v>
      </c>
      <c r="I25" s="3">
        <v>98.2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75" customHeight="1">
      <c r="A26" s="3">
        <v>42.0</v>
      </c>
      <c r="B26" s="3">
        <v>7.0</v>
      </c>
      <c r="C26" s="3" t="s">
        <v>9</v>
      </c>
      <c r="D26" s="3" t="s">
        <v>18</v>
      </c>
      <c r="E26" s="3" t="s">
        <v>58</v>
      </c>
      <c r="F26" s="3" t="s">
        <v>75</v>
      </c>
      <c r="G26" s="3" t="s">
        <v>76</v>
      </c>
      <c r="H26" s="3">
        <v>36.5</v>
      </c>
      <c r="I26" s="3">
        <v>84.2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5.75" customHeight="1">
      <c r="A27" s="3">
        <v>43.0</v>
      </c>
      <c r="B27" s="3">
        <v>9.0</v>
      </c>
      <c r="C27" s="3" t="s">
        <v>9</v>
      </c>
      <c r="D27" s="3" t="s">
        <v>77</v>
      </c>
      <c r="E27" s="3" t="s">
        <v>78</v>
      </c>
      <c r="F27" s="3" t="s">
        <v>77</v>
      </c>
      <c r="G27" s="3" t="s">
        <v>79</v>
      </c>
      <c r="H27" s="3">
        <v>49.7</v>
      </c>
      <c r="I27" s="3">
        <v>100.0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5.75" customHeight="1">
      <c r="A28" s="3"/>
      <c r="B28" s="3">
        <f>SUM(B2:B27)</f>
        <v>213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</sheetData>
  <autoFilter ref="$A$1:$I$28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4.29"/>
    <col customWidth="1" min="7" max="7" width="48.14"/>
    <col customWidth="1" min="8" max="8" width="14.57"/>
    <col customWidth="1" min="9" max="9" width="16.57"/>
    <col customWidth="1" min="10" max="24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3">
        <v>58.0</v>
      </c>
      <c r="B2" s="3">
        <v>8.0</v>
      </c>
      <c r="C2" s="3" t="s">
        <v>80</v>
      </c>
      <c r="D2" s="3" t="s">
        <v>81</v>
      </c>
      <c r="E2" s="3" t="s">
        <v>82</v>
      </c>
      <c r="F2" s="3" t="s">
        <v>83</v>
      </c>
      <c r="G2" s="3" t="s">
        <v>84</v>
      </c>
      <c r="H2" s="3">
        <v>55.8</v>
      </c>
      <c r="I2" s="3">
        <v>100.0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>
        <v>59.0</v>
      </c>
      <c r="B3" s="3">
        <v>7.0</v>
      </c>
      <c r="C3" s="3" t="s">
        <v>80</v>
      </c>
      <c r="D3" s="3" t="s">
        <v>85</v>
      </c>
      <c r="E3" s="3" t="s">
        <v>86</v>
      </c>
      <c r="F3" s="3" t="s">
        <v>87</v>
      </c>
      <c r="G3" s="3" t="s">
        <v>88</v>
      </c>
      <c r="H3" s="3">
        <v>47.3</v>
      </c>
      <c r="I3" s="3">
        <v>90.2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3">
        <v>61.0</v>
      </c>
      <c r="B4" s="3">
        <v>8.0</v>
      </c>
      <c r="C4" s="3" t="s">
        <v>80</v>
      </c>
      <c r="D4" s="3" t="s">
        <v>89</v>
      </c>
      <c r="E4" s="3" t="s">
        <v>90</v>
      </c>
      <c r="F4" s="3" t="s">
        <v>91</v>
      </c>
      <c r="G4" s="3" t="s">
        <v>92</v>
      </c>
      <c r="H4" s="3">
        <v>54.4</v>
      </c>
      <c r="I4" s="3">
        <v>100.0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3">
        <v>62.0</v>
      </c>
      <c r="B5" s="3">
        <v>9.0</v>
      </c>
      <c r="C5" s="3" t="s">
        <v>80</v>
      </c>
      <c r="D5" s="3" t="s">
        <v>89</v>
      </c>
      <c r="E5" s="3" t="s">
        <v>91</v>
      </c>
      <c r="F5" s="3" t="s">
        <v>93</v>
      </c>
      <c r="G5" s="3" t="s">
        <v>94</v>
      </c>
      <c r="H5" s="3">
        <v>52.0</v>
      </c>
      <c r="I5" s="3">
        <v>97.6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3">
        <v>63.0</v>
      </c>
      <c r="B6" s="3">
        <v>9.0</v>
      </c>
      <c r="C6" s="3" t="s">
        <v>80</v>
      </c>
      <c r="D6" s="3" t="s">
        <v>85</v>
      </c>
      <c r="E6" s="3" t="s">
        <v>87</v>
      </c>
      <c r="F6" s="3" t="s">
        <v>95</v>
      </c>
      <c r="G6" s="3" t="s">
        <v>96</v>
      </c>
      <c r="H6" s="3">
        <v>44.1</v>
      </c>
      <c r="I6" s="3">
        <v>94.6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3">
        <v>64.0</v>
      </c>
      <c r="B7" s="3">
        <v>7.0</v>
      </c>
      <c r="C7" s="3" t="s">
        <v>80</v>
      </c>
      <c r="D7" s="3" t="s">
        <v>97</v>
      </c>
      <c r="E7" s="3" t="s">
        <v>98</v>
      </c>
      <c r="F7" s="3" t="s">
        <v>99</v>
      </c>
      <c r="G7" s="3" t="s">
        <v>71</v>
      </c>
      <c r="H7" s="3">
        <v>35.3</v>
      </c>
      <c r="I7" s="3">
        <v>81.1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3">
        <v>65.0</v>
      </c>
      <c r="B8" s="3">
        <v>9.0</v>
      </c>
      <c r="C8" s="3" t="s">
        <v>80</v>
      </c>
      <c r="D8" s="3" t="s">
        <v>81</v>
      </c>
      <c r="E8" s="3" t="s">
        <v>100</v>
      </c>
      <c r="F8" s="3" t="s">
        <v>101</v>
      </c>
      <c r="G8" s="3" t="s">
        <v>102</v>
      </c>
      <c r="H8" s="3">
        <v>54.5</v>
      </c>
      <c r="I8" s="3">
        <v>100.0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3">
        <v>69.0</v>
      </c>
      <c r="B9" s="3">
        <v>7.0</v>
      </c>
      <c r="C9" s="3" t="s">
        <v>80</v>
      </c>
      <c r="D9" s="3" t="s">
        <v>103</v>
      </c>
      <c r="E9" s="3" t="s">
        <v>104</v>
      </c>
      <c r="F9" s="3" t="s">
        <v>103</v>
      </c>
      <c r="G9" s="3" t="s">
        <v>105</v>
      </c>
      <c r="H9" s="3">
        <v>51.0</v>
      </c>
      <c r="I9" s="3">
        <v>95.3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3"/>
      <c r="B10" s="3">
        <f>SUM(B2:B9)</f>
        <v>64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4.29"/>
    <col customWidth="1" min="7" max="7" width="48.14"/>
    <col customWidth="1" min="8" max="8" width="15.0"/>
    <col customWidth="1" min="9" max="9" width="16.57"/>
    <col customWidth="1" min="10" max="10" width="18.29"/>
    <col customWidth="1" min="11" max="11" width="8.86"/>
    <col customWidth="1" min="12" max="12" width="18.57"/>
    <col customWidth="1" min="13" max="24" width="8.86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3">
        <v>44.0</v>
      </c>
      <c r="B2" s="3">
        <v>9.0</v>
      </c>
      <c r="C2" s="3" t="s">
        <v>106</v>
      </c>
      <c r="D2" s="3" t="s">
        <v>107</v>
      </c>
      <c r="E2" s="3" t="s">
        <v>107</v>
      </c>
      <c r="F2" s="3" t="s">
        <v>108</v>
      </c>
      <c r="G2" s="3" t="s">
        <v>109</v>
      </c>
      <c r="H2" s="3">
        <v>29.5</v>
      </c>
      <c r="I2" s="3">
        <v>84.3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>
        <v>45.0</v>
      </c>
      <c r="B3" s="3">
        <v>8.0</v>
      </c>
      <c r="C3" s="3" t="s">
        <v>106</v>
      </c>
      <c r="D3" s="3" t="s">
        <v>107</v>
      </c>
      <c r="E3" s="3" t="s">
        <v>107</v>
      </c>
      <c r="F3" s="3" t="s">
        <v>110</v>
      </c>
      <c r="G3" s="3" t="s">
        <v>111</v>
      </c>
      <c r="H3" s="3">
        <v>28.7</v>
      </c>
      <c r="I3" s="3">
        <v>82.6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3">
        <v>46.0</v>
      </c>
      <c r="B4" s="3">
        <v>7.0</v>
      </c>
      <c r="C4" s="3" t="s">
        <v>106</v>
      </c>
      <c r="D4" s="3" t="s">
        <v>107</v>
      </c>
      <c r="E4" s="3" t="s">
        <v>110</v>
      </c>
      <c r="F4" s="3" t="s">
        <v>112</v>
      </c>
      <c r="G4" s="6" t="s">
        <v>113</v>
      </c>
      <c r="H4" s="3">
        <v>62.2</v>
      </c>
      <c r="I4" s="6">
        <v>84.4</v>
      </c>
      <c r="J4" s="6"/>
      <c r="K4" s="6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3">
        <v>47.0</v>
      </c>
      <c r="B5" s="3">
        <v>9.0</v>
      </c>
      <c r="C5" s="3" t="s">
        <v>106</v>
      </c>
      <c r="D5" s="3" t="s">
        <v>107</v>
      </c>
      <c r="E5" s="3" t="s">
        <v>108</v>
      </c>
      <c r="F5" s="3" t="s">
        <v>114</v>
      </c>
      <c r="G5" s="3" t="s">
        <v>115</v>
      </c>
      <c r="H5" s="3">
        <v>37.2</v>
      </c>
      <c r="I5" s="3">
        <v>78.1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3">
        <v>48.0</v>
      </c>
      <c r="B6" s="3">
        <v>9.0</v>
      </c>
      <c r="C6" s="3" t="s">
        <v>106</v>
      </c>
      <c r="D6" s="3" t="s">
        <v>107</v>
      </c>
      <c r="E6" s="3" t="s">
        <v>116</v>
      </c>
      <c r="F6" s="3" t="s">
        <v>117</v>
      </c>
      <c r="G6" s="3" t="s">
        <v>118</v>
      </c>
      <c r="H6" s="3">
        <v>40.9</v>
      </c>
      <c r="I6" s="3">
        <v>86.8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3">
        <v>49.0</v>
      </c>
      <c r="B7" s="3">
        <v>9.0</v>
      </c>
      <c r="C7" s="3" t="s">
        <v>106</v>
      </c>
      <c r="D7" s="3" t="s">
        <v>107</v>
      </c>
      <c r="E7" s="3" t="s">
        <v>117</v>
      </c>
      <c r="F7" s="3" t="s">
        <v>117</v>
      </c>
      <c r="G7" s="3" t="s">
        <v>119</v>
      </c>
      <c r="H7" s="3">
        <v>32.1</v>
      </c>
      <c r="I7" s="3">
        <v>85.9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3">
        <v>50.0</v>
      </c>
      <c r="B8" s="3">
        <v>11.0</v>
      </c>
      <c r="C8" s="3" t="s">
        <v>106</v>
      </c>
      <c r="D8" s="3" t="s">
        <v>120</v>
      </c>
      <c r="E8" s="3" t="s">
        <v>120</v>
      </c>
      <c r="F8" s="3" t="s">
        <v>120</v>
      </c>
      <c r="G8" s="6" t="s">
        <v>121</v>
      </c>
      <c r="H8" s="3">
        <v>27.8</v>
      </c>
      <c r="I8" s="6">
        <v>88.1</v>
      </c>
      <c r="J8" s="6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3">
        <v>51.0</v>
      </c>
      <c r="B9" s="3">
        <v>8.0</v>
      </c>
      <c r="C9" s="3" t="s">
        <v>106</v>
      </c>
      <c r="D9" s="3" t="s">
        <v>120</v>
      </c>
      <c r="E9" s="3" t="s">
        <v>120</v>
      </c>
      <c r="F9" s="3" t="s">
        <v>122</v>
      </c>
      <c r="G9" s="3" t="s">
        <v>123</v>
      </c>
      <c r="H9" s="3">
        <v>36.8</v>
      </c>
      <c r="I9" s="6">
        <v>83.5</v>
      </c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3">
        <v>52.0</v>
      </c>
      <c r="B10" s="3">
        <v>8.0</v>
      </c>
      <c r="C10" s="3" t="s">
        <v>106</v>
      </c>
      <c r="D10" s="3" t="s">
        <v>124</v>
      </c>
      <c r="E10" s="3" t="s">
        <v>125</v>
      </c>
      <c r="F10" s="3" t="s">
        <v>126</v>
      </c>
      <c r="G10" s="3" t="s">
        <v>127</v>
      </c>
      <c r="H10" s="3">
        <v>39.7</v>
      </c>
      <c r="I10" s="3">
        <v>89.8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3">
        <v>53.0</v>
      </c>
      <c r="B11" s="3">
        <v>7.0</v>
      </c>
      <c r="C11" s="3" t="s">
        <v>106</v>
      </c>
      <c r="D11" s="3" t="s">
        <v>124</v>
      </c>
      <c r="E11" s="3" t="s">
        <v>126</v>
      </c>
      <c r="F11" s="3" t="s">
        <v>124</v>
      </c>
      <c r="G11" s="3" t="s">
        <v>128</v>
      </c>
      <c r="H11" s="3">
        <v>41.9</v>
      </c>
      <c r="I11" s="3">
        <v>84.7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3">
        <v>54.0</v>
      </c>
      <c r="B12" s="3">
        <v>9.0</v>
      </c>
      <c r="C12" s="3" t="s">
        <v>106</v>
      </c>
      <c r="D12" s="3" t="s">
        <v>129</v>
      </c>
      <c r="E12" s="3" t="s">
        <v>130</v>
      </c>
      <c r="F12" s="3" t="s">
        <v>129</v>
      </c>
      <c r="G12" s="6" t="s">
        <v>131</v>
      </c>
      <c r="H12" s="3">
        <v>33.7</v>
      </c>
      <c r="I12" s="6">
        <v>84.1</v>
      </c>
      <c r="J12" s="6"/>
      <c r="K12" s="6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3"/>
      <c r="B13" s="3">
        <f>SUM(B2:B12)</f>
        <v>94</v>
      </c>
      <c r="C13" s="3"/>
      <c r="D13" s="3"/>
      <c r="E13" s="3"/>
      <c r="F13" s="3"/>
      <c r="G13" s="3"/>
      <c r="H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6"/>
      <c r="J14" s="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</sheetData>
  <autoFilter ref="$A$1:$I$1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2024-05-28T15:46:39Z</dcterms:created>
  <dc:creator>openpyxl</dc:creator>
</cp:coreProperties>
</file>